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242bb4e0502c328/ドキュメント/Data Science/Power BI/"/>
    </mc:Choice>
  </mc:AlternateContent>
  <xr:revisionPtr revIDLastSave="3" documentId="13_ncr:1_{D2CA7E17-98E4-4427-B419-D370DC879EC7}" xr6:coauthVersionLast="47" xr6:coauthVersionMax="47" xr10:uidLastSave="{9D2DD65A-0184-4986-BAD7-1BC16F3D76D7}"/>
  <bookViews>
    <workbookView xWindow="-108" yWindow="-108" windowWidth="23256" windowHeight="12456" activeTab="2" xr2:uid="{AA3C1E50-38F1-6644-B051-514CE6CAA6A2}"/>
  </bookViews>
  <sheets>
    <sheet name="Data" sheetId="1" r:id="rId1"/>
    <sheet name="Analyze" sheetId="5" r:id="rId2"/>
    <sheet name="Dashboard" sheetId="6" r:id="rId3"/>
  </sheets>
  <definedNames>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6" l="1"/>
  <c r="I14" i="6"/>
  <c r="J14" i="6"/>
  <c r="H15" i="6"/>
  <c r="I15" i="6"/>
  <c r="J15" i="6"/>
  <c r="H16" i="6"/>
  <c r="I16" i="6"/>
  <c r="J16" i="6"/>
  <c r="H17" i="6"/>
  <c r="I17" i="6"/>
  <c r="J17" i="6"/>
  <c r="H18" i="6"/>
  <c r="I18" i="6"/>
  <c r="J18" i="6"/>
  <c r="I13" i="6"/>
  <c r="J13" i="6"/>
  <c r="H13" i="6"/>
  <c r="C14" i="6"/>
  <c r="D14" i="6"/>
  <c r="E14" i="6"/>
  <c r="C15" i="6"/>
  <c r="D15" i="6"/>
  <c r="E15" i="6"/>
  <c r="C16" i="6"/>
  <c r="D16" i="6"/>
  <c r="E16" i="6"/>
  <c r="C17" i="6"/>
  <c r="D17" i="6"/>
  <c r="E17" i="6"/>
  <c r="C18" i="6"/>
  <c r="D18" i="6"/>
  <c r="E18" i="6"/>
  <c r="D13" i="6"/>
  <c r="E13" i="6"/>
  <c r="C13" i="6"/>
  <c r="F28" i="5"/>
  <c r="G28" i="5"/>
  <c r="H28" i="5"/>
  <c r="F29" i="5"/>
  <c r="G29" i="5"/>
  <c r="H29" i="5"/>
  <c r="F30" i="5"/>
  <c r="G30" i="5"/>
  <c r="H30" i="5"/>
  <c r="E31" i="5"/>
  <c r="F31" i="5"/>
  <c r="G31" i="5"/>
  <c r="H31" i="5"/>
  <c r="F32" i="5"/>
  <c r="G32" i="5"/>
  <c r="H32" i="5"/>
  <c r="F33" i="5"/>
  <c r="G33" i="5"/>
  <c r="H33" i="5"/>
  <c r="F34" i="5"/>
  <c r="G34" i="5"/>
  <c r="H34" i="5"/>
  <c r="F27" i="5"/>
  <c r="G27" i="5"/>
  <c r="H27" i="5"/>
  <c r="E27" i="5"/>
  <c r="K18" i="6" l="1"/>
  <c r="K14" i="6"/>
  <c r="K16" i="6"/>
  <c r="K17" i="6"/>
  <c r="K15" i="6"/>
  <c r="I19" i="6"/>
  <c r="J19" i="6"/>
  <c r="F15" i="6"/>
  <c r="K13" i="6"/>
  <c r="E19" i="6"/>
  <c r="F18" i="6"/>
  <c r="F14" i="6"/>
  <c r="F13" i="6"/>
  <c r="D19" i="6"/>
  <c r="F17" i="6"/>
  <c r="F16" i="6"/>
  <c r="K19" i="6" l="1"/>
  <c r="F19" i="6"/>
</calcChain>
</file>

<file path=xl/sharedStrings.xml><?xml version="1.0" encoding="utf-8"?>
<sst xmlns="http://schemas.openxmlformats.org/spreadsheetml/2006/main" count="48307" uniqueCount="155">
  <si>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</si>
  <si>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</si>
  <si>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</si>
  <si>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</si>
  <si>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</si>
  <si>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</si>
  <si>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</si>
  <si>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</si>
  <si>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</si>
  <si>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</si>
  <si>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</si>
  <si>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</si>
  <si>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</si>
  <si>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</si>
  <si>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</si>
  <si>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</si>
  <si>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</si>
  <si>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</si>
  <si>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</si>
  <si>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</si>
  <si>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</si>
  <si>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</si>
  <si>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</si>
  <si>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</si>
  <si>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</si>
  <si>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</si>
  <si>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</si>
  <si>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</si>
  <si>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</si>
  <si>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</si>
  <si>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</si>
  <si>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</si>
  <si>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</si>
  <si>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</si>
  <si>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</si>
  <si>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</si>
  <si>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</si>
  <si>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</si>
  <si>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</si>
  <si>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</si>
  <si>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</si>
  <si>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</si>
  <si>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</si>
  <si>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</si>
  <si>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</si>
  <si>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</si>
  <si>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</si>
  <si>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</si>
  <si>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</si>
  <si>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</si>
  <si>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</si>
  <si>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</si>
  <si>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</si>
  <si>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</si>
  <si>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</si>
  <si>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</si>
  <si>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</si>
  <si>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</si>
  <si>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</si>
  <si>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</si>
  <si>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</si>
  <si>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</si>
  <si>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</si>
  <si>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</si>
  <si>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</si>
  <si>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</si>
  <si>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</si>
  <si>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</si>
  <si>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</si>
  <si>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</si>
  <si>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</si>
  <si>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</si>
  <si>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</si>
  <si>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</si>
  <si>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</si>
  <si>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</si>
  <si>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</si>
  <si>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</si>
  <si>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</si>
  <si>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</si>
  <si>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</si>
  <si>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</si>
  <si>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</si>
  <si>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</si>
  <si>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</si>
  <si>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</si>
  <si>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</si>
  <si>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</si>
  <si>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</si>
  <si>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</si>
  <si>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</si>
  <si>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</si>
  <si>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</si>
  <si>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</si>
  <si>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</si>
  <si>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</si>
  <si>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</si>
  <si>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</si>
  <si>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</si>
  <si>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</si>
  <si>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</si>
  <si>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</si>
  <si>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</si>
  <si>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</si>
  <si>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</si>
  <si>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</si>
  <si>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</si>
  <si>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</si>
  <si>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</si>
  <si>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</si>
  <si>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</si>
  <si>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</si>
  <si>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</si>
  <si>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</si>
  <si>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</si>
  <si>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</si>
  <si>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</si>
  <si>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</si>
  <si>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</si>
  <si>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</si>
  <si>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</si>
  <si>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</si>
  <si>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</si>
  <si>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</si>
  <si>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</si>
  <si>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</si>
  <si>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</si>
  <si>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</si>
  <si>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</si>
  <si>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</si>
  <si>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</si>
  <si>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</si>
  <si>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</si>
  <si>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</si>
  <si>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</si>
  <si>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</si>
  <si>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</si>
  <si>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</si>
  <si>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</si>
  <si>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</si>
  <si>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</si>
  <si>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</si>
  <si>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</si>
  <si>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</si>
  <si>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</si>
  <si>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</si>
  <si>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</si>
  <si>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Average of Operating Profit</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</si>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</sst>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0" borderId="0" xfId="0" applyFont="1" applyFill="1" applyAlignment="1">
      <alignment horizontal="center"/>
    </xf>
    <xf numFmtId="0" fontId="2" fillId="4" borderId="0" xfId="0" applyFont="1" applyFill="1"/>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5" fillId="5" borderId="2" xfId="0" applyFont="1" applyFill="1" applyBorder="1"/>
    <xf numFmtId="3" fontId="5" fillId="5" borderId="2" xfId="0" applyNumberFormat="1" applyFont="1" applyFill="1" applyBorder="1"/>
    <xf numFmtId="0" fontId="2" fillId="3" borderId="0" xfId="0" applyFont="1" applyFill="1" applyAlignment="1">
      <alignment horizontal="center"/>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v>SALES</c:v>
          </c:tx>
          <c:spPr>
            <a:solidFill>
              <a:schemeClr val="accent1">
                <a:shade val="76000"/>
              </a:schemeClr>
            </a:solidFill>
            <a:ln>
              <a:noFill/>
            </a:ln>
            <a:effectLst/>
          </c:spPr>
          <c:invertIfNegative val="0"/>
          <c:cat>
            <c:multiLvlStrRef>
              <c:f>Analyze!$E$27:$F$34</c:f>
              <c:multiLvlStrCache>
                <c:ptCount val="8"/>
                <c:lvl>
                  <c:pt idx="0">
                    <c:v>Qtr4</c:v>
                  </c:pt>
                  <c:pt idx="1">
                    <c:v>Qtr1</c:v>
                  </c:pt>
                  <c:pt idx="2">
                    <c:v>Qtr2</c:v>
                  </c:pt>
                  <c:pt idx="3">
                    <c:v>Qtr3</c:v>
                  </c:pt>
                  <c:pt idx="4">
                    <c:v>Qtr4</c:v>
                  </c:pt>
                  <c:pt idx="5">
                    <c:v>0</c:v>
                  </c:pt>
                  <c:pt idx="6">
                    <c:v>0</c:v>
                  </c:pt>
                  <c:pt idx="7">
                    <c:v>0</c:v>
                  </c:pt>
                </c:lvl>
                <c:lvl>
                  <c:pt idx="0">
                    <c:v>2022</c:v>
                  </c:pt>
                  <c:pt idx="4">
                    <c:v>0</c:v>
                  </c:pt>
                </c:lvl>
              </c:multiLvlStrCache>
            </c:multiLvlStrRef>
          </c:cat>
          <c:val>
            <c:numRef>
              <c:f>Analyze!$G$27:$G$34</c:f>
              <c:numCache>
                <c:formatCode>General</c:formatCode>
                <c:ptCount val="8"/>
                <c:pt idx="0">
                  <c:v>90391.799999999988</c:v>
                </c:pt>
                <c:pt idx="1">
                  <c:v>383459.10000000003</c:v>
                </c:pt>
                <c:pt idx="2">
                  <c:v>355718.20000000007</c:v>
                </c:pt>
                <c:pt idx="3">
                  <c:v>483622</c:v>
                </c:pt>
                <c:pt idx="4">
                  <c:v>354252.3</c:v>
                </c:pt>
                <c:pt idx="5">
                  <c:v>1667443.4</c:v>
                </c:pt>
                <c:pt idx="6">
                  <c:v>0</c:v>
                </c:pt>
                <c:pt idx="7">
                  <c:v>0</c:v>
                </c:pt>
              </c:numCache>
            </c:numRef>
          </c:val>
          <c:extLst>
            <c:ext xmlns:c16="http://schemas.microsoft.com/office/drawing/2014/chart" uri="{C3380CC4-5D6E-409C-BE32-E72D297353CC}">
              <c16:uniqueId val="{00000000-5CED-4754-A51A-E094D93AE342}"/>
            </c:ext>
          </c:extLst>
        </c:ser>
        <c:dLbls>
          <c:showLegendKey val="0"/>
          <c:showVal val="0"/>
          <c:showCatName val="0"/>
          <c:showSerName val="0"/>
          <c:showPercent val="0"/>
          <c:showBubbleSize val="0"/>
        </c:dLbls>
        <c:gapWidth val="219"/>
        <c:axId val="726590176"/>
        <c:axId val="726591256"/>
      </c:barChart>
      <c:lineChart>
        <c:grouping val="standard"/>
        <c:varyColors val="0"/>
        <c:ser>
          <c:idx val="1"/>
          <c:order val="1"/>
          <c:tx>
            <c:v>OPERATING PROFIT MARGIN</c:v>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multiLvlStrRef>
              <c:f>Analyze!$E$27:$F$34</c:f>
              <c:multiLvlStrCache>
                <c:ptCount val="8"/>
                <c:lvl>
                  <c:pt idx="0">
                    <c:v>Qtr4</c:v>
                  </c:pt>
                  <c:pt idx="1">
                    <c:v>Qtr1</c:v>
                  </c:pt>
                  <c:pt idx="2">
                    <c:v>Qtr2</c:v>
                  </c:pt>
                  <c:pt idx="3">
                    <c:v>Qtr3</c:v>
                  </c:pt>
                  <c:pt idx="4">
                    <c:v>Qtr4</c:v>
                  </c:pt>
                  <c:pt idx="5">
                    <c:v>0</c:v>
                  </c:pt>
                  <c:pt idx="6">
                    <c:v>0</c:v>
                  </c:pt>
                  <c:pt idx="7">
                    <c:v>0</c:v>
                  </c:pt>
                </c:lvl>
                <c:lvl>
                  <c:pt idx="0">
                    <c:v>2022</c:v>
                  </c:pt>
                  <c:pt idx="4">
                    <c:v>0</c:v>
                  </c:pt>
                </c:lvl>
              </c:multiLvlStrCache>
            </c:multiLvlStrRef>
          </c:cat>
          <c:val>
            <c:numRef>
              <c:f>Analyze!$H$27:$H$34</c:f>
              <c:numCache>
                <c:formatCode>General</c:formatCode>
                <c:ptCount val="8"/>
                <c:pt idx="0">
                  <c:v>241.15434722222233</c:v>
                </c:pt>
                <c:pt idx="1">
                  <c:v>338.11582264957269</c:v>
                </c:pt>
                <c:pt idx="2">
                  <c:v>327.64214380530979</c:v>
                </c:pt>
                <c:pt idx="3">
                  <c:v>413.25352272727275</c:v>
                </c:pt>
                <c:pt idx="4">
                  <c:v>447.28746296296299</c:v>
                </c:pt>
                <c:pt idx="5">
                  <c:v>366.45006570512811</c:v>
                </c:pt>
                <c:pt idx="6">
                  <c:v>0</c:v>
                </c:pt>
                <c:pt idx="7">
                  <c:v>0</c:v>
                </c:pt>
              </c:numCache>
            </c:numRef>
          </c:val>
          <c:smooth val="0"/>
          <c:extLst>
            <c:ext xmlns:c16="http://schemas.microsoft.com/office/drawing/2014/chart" uri="{C3380CC4-5D6E-409C-BE32-E72D297353CC}">
              <c16:uniqueId val="{00000001-5CED-4754-A51A-E094D93AE342}"/>
            </c:ext>
          </c:extLst>
        </c:ser>
        <c:dLbls>
          <c:showLegendKey val="0"/>
          <c:showVal val="0"/>
          <c:showCatName val="0"/>
          <c:showSerName val="0"/>
          <c:showPercent val="0"/>
          <c:showBubbleSize val="0"/>
        </c:dLbls>
        <c:marker val="1"/>
        <c:smooth val="0"/>
        <c:axId val="726584776"/>
        <c:axId val="726584416"/>
      </c:lineChart>
      <c:catAx>
        <c:axId val="72659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91256"/>
        <c:crosses val="autoZero"/>
        <c:auto val="1"/>
        <c:lblAlgn val="ctr"/>
        <c:lblOffset val="100"/>
        <c:noMultiLvlLbl val="0"/>
      </c:catAx>
      <c:valAx>
        <c:axId val="726591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90176"/>
        <c:crosses val="autoZero"/>
        <c:crossBetween val="between"/>
      </c:valAx>
      <c:valAx>
        <c:axId val="726584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84776"/>
        <c:crosses val="max"/>
        <c:crossBetween val="between"/>
      </c:valAx>
      <c:catAx>
        <c:axId val="726584776"/>
        <c:scaling>
          <c:orientation val="minMax"/>
        </c:scaling>
        <c:delete val="1"/>
        <c:axPos val="b"/>
        <c:numFmt formatCode="General" sourceLinked="1"/>
        <c:majorTickMark val="out"/>
        <c:minorTickMark val="none"/>
        <c:tickLblPos val="nextTo"/>
        <c:crossAx val="726584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2133600</xdr:colOff>
      <xdr:row>15</xdr:row>
      <xdr:rowOff>66675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2F536552-3226-428B-BBE7-C97ADC1D3F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00050"/>
              <a:ext cx="21336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619126</xdr:colOff>
      <xdr:row>1</xdr:row>
      <xdr:rowOff>76200</xdr:rowOff>
    </xdr:from>
    <xdr:to>
      <xdr:col>11</xdr:col>
      <xdr:colOff>28576</xdr:colOff>
      <xdr:row>4</xdr:row>
      <xdr:rowOff>72781</xdr:rowOff>
    </xdr:to>
    <xdr:sp macro="" textlink="">
      <xdr:nvSpPr>
        <xdr:cNvPr id="2" name="Rectangle 1">
          <a:extLst>
            <a:ext uri="{FF2B5EF4-FFF2-40B4-BE49-F238E27FC236}">
              <a16:creationId xmlns:a16="http://schemas.microsoft.com/office/drawing/2014/main" id="{E1DD2545-5BF3-32FE-2902-BDE0AED842A0}"/>
            </a:ext>
          </a:extLst>
        </xdr:cNvPr>
        <xdr:cNvSpPr/>
      </xdr:nvSpPr>
      <xdr:spPr>
        <a:xfrm>
          <a:off x="2809876" y="276225"/>
          <a:ext cx="7981950" cy="596656"/>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kern="1200"/>
            <a:t>Coca</a:t>
          </a:r>
          <a:r>
            <a:rPr lang="en-IN" sz="2400" kern="1200" baseline="0"/>
            <a:t>-Cola USA Retailer Dashboard</a:t>
          </a:r>
          <a:endParaRPr lang="en-IN" sz="2400" kern="1200"/>
        </a:p>
      </xdr:txBody>
    </xdr:sp>
    <xdr:clientData/>
  </xdr:twoCellAnchor>
  <xdr:twoCellAnchor>
    <xdr:from>
      <xdr:col>1</xdr:col>
      <xdr:colOff>647700</xdr:colOff>
      <xdr:row>5</xdr:row>
      <xdr:rowOff>76199</xdr:rowOff>
    </xdr:from>
    <xdr:to>
      <xdr:col>3</xdr:col>
      <xdr:colOff>619125</xdr:colOff>
      <xdr:row>8</xdr:row>
      <xdr:rowOff>114300</xdr:rowOff>
    </xdr:to>
    <xdr:sp macro="" textlink="">
      <xdr:nvSpPr>
        <xdr:cNvPr id="3" name="Rectangle 2">
          <a:extLst>
            <a:ext uri="{FF2B5EF4-FFF2-40B4-BE49-F238E27FC236}">
              <a16:creationId xmlns:a16="http://schemas.microsoft.com/office/drawing/2014/main" id="{95DF556F-1371-BF94-43A0-73F65088D8C0}"/>
            </a:ext>
          </a:extLst>
        </xdr:cNvPr>
        <xdr:cNvSpPr/>
      </xdr:nvSpPr>
      <xdr:spPr>
        <a:xfrm>
          <a:off x="2838450" y="1076324"/>
          <a:ext cx="1685925" cy="638176"/>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kern="1200">
              <a:solidFill>
                <a:schemeClr val="lt1"/>
              </a:solidFill>
              <a:latin typeface="+mn-lt"/>
              <a:ea typeface="+mn-ea"/>
              <a:cs typeface="+mn-cs"/>
            </a:rPr>
            <a:t> TOTAL</a:t>
          </a:r>
          <a:r>
            <a:rPr lang="en-IN" sz="1100" kern="1200" baseline="0">
              <a:solidFill>
                <a:schemeClr val="lt1"/>
              </a:solidFill>
              <a:latin typeface="+mn-lt"/>
              <a:ea typeface="+mn-ea"/>
              <a:cs typeface="+mn-cs"/>
            </a:rPr>
            <a:t> SALES</a:t>
          </a:r>
          <a:endParaRPr lang="en-IN" sz="1100" kern="1200">
            <a:solidFill>
              <a:schemeClr val="lt1"/>
            </a:solidFill>
            <a:latin typeface="+mn-lt"/>
            <a:ea typeface="+mn-ea"/>
            <a:cs typeface="+mn-cs"/>
          </a:endParaRPr>
        </a:p>
      </xdr:txBody>
    </xdr:sp>
    <xdr:clientData/>
  </xdr:twoCellAnchor>
  <xdr:twoCellAnchor>
    <xdr:from>
      <xdr:col>4</xdr:col>
      <xdr:colOff>142875</xdr:colOff>
      <xdr:row>5</xdr:row>
      <xdr:rowOff>66674</xdr:rowOff>
    </xdr:from>
    <xdr:to>
      <xdr:col>6</xdr:col>
      <xdr:colOff>114300</xdr:colOff>
      <xdr:row>8</xdr:row>
      <xdr:rowOff>104774</xdr:rowOff>
    </xdr:to>
    <xdr:sp macro="" textlink="">
      <xdr:nvSpPr>
        <xdr:cNvPr id="4" name="Rectangle 3">
          <a:extLst>
            <a:ext uri="{FF2B5EF4-FFF2-40B4-BE49-F238E27FC236}">
              <a16:creationId xmlns:a16="http://schemas.microsoft.com/office/drawing/2014/main" id="{7C4FAC2F-2AD9-40DE-9FF3-9A855B403307}"/>
            </a:ext>
          </a:extLst>
        </xdr:cNvPr>
        <xdr:cNvSpPr/>
      </xdr:nvSpPr>
      <xdr:spPr>
        <a:xfrm>
          <a:off x="4905375" y="1066799"/>
          <a:ext cx="1685925" cy="638175"/>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kern="1200">
              <a:solidFill>
                <a:schemeClr val="lt1"/>
              </a:solidFill>
              <a:latin typeface="+mn-lt"/>
              <a:ea typeface="+mn-ea"/>
              <a:cs typeface="+mn-cs"/>
            </a:rPr>
            <a:t>UNIT SOLD</a:t>
          </a:r>
        </a:p>
      </xdr:txBody>
    </xdr:sp>
    <xdr:clientData/>
  </xdr:twoCellAnchor>
  <xdr:twoCellAnchor>
    <xdr:from>
      <xdr:col>6</xdr:col>
      <xdr:colOff>533400</xdr:colOff>
      <xdr:row>5</xdr:row>
      <xdr:rowOff>76200</xdr:rowOff>
    </xdr:from>
    <xdr:to>
      <xdr:col>8</xdr:col>
      <xdr:colOff>523875</xdr:colOff>
      <xdr:row>8</xdr:row>
      <xdr:rowOff>85725</xdr:rowOff>
    </xdr:to>
    <xdr:sp macro="" textlink="">
      <xdr:nvSpPr>
        <xdr:cNvPr id="5" name="Rectangle 4">
          <a:extLst>
            <a:ext uri="{FF2B5EF4-FFF2-40B4-BE49-F238E27FC236}">
              <a16:creationId xmlns:a16="http://schemas.microsoft.com/office/drawing/2014/main" id="{168862A1-6360-454B-ACF3-FA161673DB77}"/>
            </a:ext>
          </a:extLst>
        </xdr:cNvPr>
        <xdr:cNvSpPr/>
      </xdr:nvSpPr>
      <xdr:spPr>
        <a:xfrm>
          <a:off x="7010400" y="1076325"/>
          <a:ext cx="1571625" cy="60960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kern="1200">
              <a:solidFill>
                <a:schemeClr val="lt1"/>
              </a:solidFill>
              <a:latin typeface="+mn-lt"/>
              <a:ea typeface="+mn-ea"/>
              <a:cs typeface="+mn-cs"/>
            </a:rPr>
            <a:t>AVERAGE</a:t>
          </a:r>
          <a:r>
            <a:rPr lang="en-IN" sz="1100" kern="1200" baseline="0">
              <a:solidFill>
                <a:schemeClr val="lt1"/>
              </a:solidFill>
              <a:latin typeface="+mn-lt"/>
              <a:ea typeface="+mn-ea"/>
              <a:cs typeface="+mn-cs"/>
            </a:rPr>
            <a:t> PRICE</a:t>
          </a:r>
        </a:p>
      </xdr:txBody>
    </xdr:sp>
    <xdr:clientData/>
  </xdr:twoCellAnchor>
  <xdr:twoCellAnchor>
    <xdr:from>
      <xdr:col>9</xdr:col>
      <xdr:colOff>28575</xdr:colOff>
      <xdr:row>5</xdr:row>
      <xdr:rowOff>47625</xdr:rowOff>
    </xdr:from>
    <xdr:to>
      <xdr:col>11</xdr:col>
      <xdr:colOff>47625</xdr:colOff>
      <xdr:row>8</xdr:row>
      <xdr:rowOff>57150</xdr:rowOff>
    </xdr:to>
    <xdr:sp macro="" textlink="">
      <xdr:nvSpPr>
        <xdr:cNvPr id="6" name="Rectangle 5">
          <a:extLst>
            <a:ext uri="{FF2B5EF4-FFF2-40B4-BE49-F238E27FC236}">
              <a16:creationId xmlns:a16="http://schemas.microsoft.com/office/drawing/2014/main" id="{75BFE04A-49F5-4271-B5B0-2B8CAFF122AE}"/>
            </a:ext>
          </a:extLst>
        </xdr:cNvPr>
        <xdr:cNvSpPr/>
      </xdr:nvSpPr>
      <xdr:spPr>
        <a:xfrm>
          <a:off x="9077325" y="1047750"/>
          <a:ext cx="1733550" cy="60960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kern="1200">
              <a:solidFill>
                <a:schemeClr val="lt1"/>
              </a:solidFill>
              <a:latin typeface="+mn-lt"/>
              <a:ea typeface="+mn-ea"/>
              <a:cs typeface="+mn-cs"/>
            </a:rPr>
            <a:t>TOTAL OPERATING</a:t>
          </a:r>
          <a:r>
            <a:rPr lang="en-IN" sz="1100" kern="1200" baseline="0">
              <a:solidFill>
                <a:schemeClr val="lt1"/>
              </a:solidFill>
              <a:latin typeface="+mn-lt"/>
              <a:ea typeface="+mn-ea"/>
              <a:cs typeface="+mn-cs"/>
            </a:rPr>
            <a:t> PROFIT</a:t>
          </a:r>
          <a:endParaRPr lang="en-IN" sz="1100" kern="1200">
            <a:solidFill>
              <a:schemeClr val="lt1"/>
            </a:solidFill>
            <a:latin typeface="+mn-lt"/>
            <a:ea typeface="+mn-ea"/>
            <a:cs typeface="+mn-cs"/>
          </a:endParaRPr>
        </a:p>
      </xdr:txBody>
    </xdr:sp>
    <xdr:clientData/>
  </xdr:twoCellAnchor>
  <xdr:twoCellAnchor>
    <xdr:from>
      <xdr:col>1</xdr:col>
      <xdr:colOff>733425</xdr:colOff>
      <xdr:row>6</xdr:row>
      <xdr:rowOff>76200</xdr:rowOff>
    </xdr:from>
    <xdr:to>
      <xdr:col>3</xdr:col>
      <xdr:colOff>523875</xdr:colOff>
      <xdr:row>8</xdr:row>
      <xdr:rowOff>85725</xdr:rowOff>
    </xdr:to>
    <xdr:sp macro="" textlink="Analyze!A4">
      <xdr:nvSpPr>
        <xdr:cNvPr id="7" name="TextBox 6">
          <a:extLst>
            <a:ext uri="{FF2B5EF4-FFF2-40B4-BE49-F238E27FC236}">
              <a16:creationId xmlns:a16="http://schemas.microsoft.com/office/drawing/2014/main" id="{BBB41521-605C-4CA3-0F89-56189634648E}"/>
            </a:ext>
          </a:extLst>
        </xdr:cNvPr>
        <xdr:cNvSpPr txBox="1"/>
      </xdr:nvSpPr>
      <xdr:spPr>
        <a:xfrm>
          <a:off x="2924175" y="1276350"/>
          <a:ext cx="1504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FE0DEA-DECD-4D36-9C9A-D84129F58F9C}" type="TxLink">
            <a:rPr lang="en-US" sz="2000" b="0" i="0" u="none" strike="noStrike" kern="1200">
              <a:solidFill>
                <a:schemeClr val="bg1"/>
              </a:solidFill>
              <a:latin typeface="Calibri"/>
              <a:ea typeface="Calibri"/>
              <a:cs typeface="Calibri"/>
            </a:rPr>
            <a:pPr/>
            <a:t>$15,77,052 </a:t>
          </a:fld>
          <a:endParaRPr lang="en-IN" sz="2000" kern="1200">
            <a:solidFill>
              <a:schemeClr val="bg1"/>
            </a:solidFill>
          </a:endParaRPr>
        </a:p>
      </xdr:txBody>
    </xdr:sp>
    <xdr:clientData/>
  </xdr:twoCellAnchor>
  <xdr:twoCellAnchor>
    <xdr:from>
      <xdr:col>4</xdr:col>
      <xdr:colOff>228600</xdr:colOff>
      <xdr:row>6</xdr:row>
      <xdr:rowOff>28575</xdr:rowOff>
    </xdr:from>
    <xdr:to>
      <xdr:col>6</xdr:col>
      <xdr:colOff>19050</xdr:colOff>
      <xdr:row>8</xdr:row>
      <xdr:rowOff>38100</xdr:rowOff>
    </xdr:to>
    <xdr:sp macro="" textlink="Analyze!B5">
      <xdr:nvSpPr>
        <xdr:cNvPr id="8" name="TextBox 7">
          <a:extLst>
            <a:ext uri="{FF2B5EF4-FFF2-40B4-BE49-F238E27FC236}">
              <a16:creationId xmlns:a16="http://schemas.microsoft.com/office/drawing/2014/main" id="{7983A329-A6A9-1925-0DA0-BECC1810270F}"/>
            </a:ext>
          </a:extLst>
        </xdr:cNvPr>
        <xdr:cNvSpPr txBox="1"/>
      </xdr:nvSpPr>
      <xdr:spPr>
        <a:xfrm>
          <a:off x="4991100" y="1228725"/>
          <a:ext cx="1504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608A09-3FB1-4E00-BD12-4EF21953A58A}" type="TxLink">
            <a:rPr lang="en-US" sz="1200" b="0" i="0" u="none" strike="noStrike" kern="1200">
              <a:solidFill>
                <a:srgbClr val="000000"/>
              </a:solidFill>
              <a:latin typeface="Calibri"/>
              <a:ea typeface="Calibri"/>
              <a:cs typeface="Calibri"/>
            </a:rPr>
            <a:pPr/>
            <a:t> </a:t>
          </a:fld>
          <a:endParaRPr lang="en-IN" sz="1600" kern="1200"/>
        </a:p>
      </xdr:txBody>
    </xdr:sp>
    <xdr:clientData/>
  </xdr:twoCellAnchor>
  <xdr:twoCellAnchor>
    <xdr:from>
      <xdr:col>4</xdr:col>
      <xdr:colOff>276225</xdr:colOff>
      <xdr:row>6</xdr:row>
      <xdr:rowOff>57150</xdr:rowOff>
    </xdr:from>
    <xdr:to>
      <xdr:col>6</xdr:col>
      <xdr:colOff>66675</xdr:colOff>
      <xdr:row>8</xdr:row>
      <xdr:rowOff>66675</xdr:rowOff>
    </xdr:to>
    <xdr:sp macro="" textlink="Analyze!B4">
      <xdr:nvSpPr>
        <xdr:cNvPr id="9" name="TextBox 8">
          <a:extLst>
            <a:ext uri="{FF2B5EF4-FFF2-40B4-BE49-F238E27FC236}">
              <a16:creationId xmlns:a16="http://schemas.microsoft.com/office/drawing/2014/main" id="{E95625E5-EFF9-4169-85FA-6B248F2DE93A}"/>
            </a:ext>
          </a:extLst>
        </xdr:cNvPr>
        <xdr:cNvSpPr txBox="1"/>
      </xdr:nvSpPr>
      <xdr:spPr>
        <a:xfrm>
          <a:off x="5038725" y="1257300"/>
          <a:ext cx="1504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37CE71-EF9F-4FCA-9D6A-5BF0C60E8FBC}" type="TxLink">
            <a:rPr lang="en-US" sz="2000" b="0" i="0" u="none" strike="noStrike" kern="1200">
              <a:solidFill>
                <a:schemeClr val="bg1"/>
              </a:solidFill>
              <a:latin typeface="Calibri"/>
              <a:ea typeface="Calibri"/>
              <a:cs typeface="Calibri"/>
            </a:rPr>
            <a:pPr/>
            <a:t>37,04,990</a:t>
          </a:fld>
          <a:endParaRPr lang="en-IN" sz="2800" kern="1200">
            <a:solidFill>
              <a:schemeClr val="bg1"/>
            </a:solidFill>
          </a:endParaRPr>
        </a:p>
      </xdr:txBody>
    </xdr:sp>
    <xdr:clientData/>
  </xdr:twoCellAnchor>
  <xdr:twoCellAnchor>
    <xdr:from>
      <xdr:col>6</xdr:col>
      <xdr:colOff>609599</xdr:colOff>
      <xdr:row>6</xdr:row>
      <xdr:rowOff>57150</xdr:rowOff>
    </xdr:from>
    <xdr:to>
      <xdr:col>8</xdr:col>
      <xdr:colOff>428624</xdr:colOff>
      <xdr:row>8</xdr:row>
      <xdr:rowOff>104775</xdr:rowOff>
    </xdr:to>
    <xdr:sp macro="" textlink="Analyze!C4">
      <xdr:nvSpPr>
        <xdr:cNvPr id="10" name="TextBox 9">
          <a:extLst>
            <a:ext uri="{FF2B5EF4-FFF2-40B4-BE49-F238E27FC236}">
              <a16:creationId xmlns:a16="http://schemas.microsoft.com/office/drawing/2014/main" id="{CC391CC8-1C28-4E3F-9690-4E7B40D03468}"/>
            </a:ext>
          </a:extLst>
        </xdr:cNvPr>
        <xdr:cNvSpPr txBox="1"/>
      </xdr:nvSpPr>
      <xdr:spPr>
        <a:xfrm>
          <a:off x="7086599" y="1257300"/>
          <a:ext cx="14001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FAB606-3E07-487A-9FE4-FFDDBABDB395}" type="TxLink">
            <a:rPr lang="en-US" sz="2000" b="0" i="0" u="none" strike="noStrike" kern="1200">
              <a:solidFill>
                <a:schemeClr val="bg1"/>
              </a:solidFill>
              <a:latin typeface="Calibri"/>
              <a:ea typeface="Calibri"/>
              <a:cs typeface="Calibri"/>
            </a:rPr>
            <a:pPr marL="0" indent="0" algn="ctr"/>
            <a:t>$0.40 </a:t>
          </a:fld>
          <a:endParaRPr lang="en-US" sz="2000" b="0" i="0" u="none" strike="noStrike" kern="1200">
            <a:solidFill>
              <a:schemeClr val="bg1"/>
            </a:solidFill>
            <a:latin typeface="Calibri"/>
            <a:ea typeface="Calibri"/>
            <a:cs typeface="Calibri"/>
          </a:endParaRPr>
        </a:p>
      </xdr:txBody>
    </xdr:sp>
    <xdr:clientData/>
  </xdr:twoCellAnchor>
  <xdr:twoCellAnchor>
    <xdr:from>
      <xdr:col>9</xdr:col>
      <xdr:colOff>142875</xdr:colOff>
      <xdr:row>6</xdr:row>
      <xdr:rowOff>28575</xdr:rowOff>
    </xdr:from>
    <xdr:to>
      <xdr:col>10</xdr:col>
      <xdr:colOff>790575</xdr:colOff>
      <xdr:row>8</xdr:row>
      <xdr:rowOff>38100</xdr:rowOff>
    </xdr:to>
    <xdr:sp macro="" textlink="Analyze!D4">
      <xdr:nvSpPr>
        <xdr:cNvPr id="12" name="TextBox 11">
          <a:extLst>
            <a:ext uri="{FF2B5EF4-FFF2-40B4-BE49-F238E27FC236}">
              <a16:creationId xmlns:a16="http://schemas.microsoft.com/office/drawing/2014/main" id="{A58545F7-7056-470E-BA6F-7F06B9E6628D}"/>
            </a:ext>
          </a:extLst>
        </xdr:cNvPr>
        <xdr:cNvSpPr txBox="1"/>
      </xdr:nvSpPr>
      <xdr:spPr>
        <a:xfrm>
          <a:off x="9058275" y="1228725"/>
          <a:ext cx="1504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E4D8DE-AD84-4761-A190-634810BCAFEE}" type="TxLink">
            <a:rPr lang="en-US" sz="2000" b="0" i="0" u="none" strike="noStrike" kern="1200">
              <a:solidFill>
                <a:schemeClr val="bg1"/>
              </a:solidFill>
              <a:latin typeface="Calibri"/>
              <a:ea typeface="Calibri"/>
              <a:cs typeface="Calibri"/>
            </a:rPr>
            <a:pPr/>
            <a:t>$6,51,268 </a:t>
          </a:fld>
          <a:endParaRPr lang="en-IN" sz="2000" kern="1200">
            <a:solidFill>
              <a:schemeClr val="bg1"/>
            </a:solidFill>
          </a:endParaRPr>
        </a:p>
      </xdr:txBody>
    </xdr:sp>
    <xdr:clientData/>
  </xdr:twoCellAnchor>
  <xdr:twoCellAnchor>
    <xdr:from>
      <xdr:col>1</xdr:col>
      <xdr:colOff>857249</xdr:colOff>
      <xdr:row>22</xdr:row>
      <xdr:rowOff>0</xdr:rowOff>
    </xdr:from>
    <xdr:to>
      <xdr:col>10</xdr:col>
      <xdr:colOff>847724</xdr:colOff>
      <xdr:row>36</xdr:row>
      <xdr:rowOff>19050</xdr:rowOff>
    </xdr:to>
    <xdr:graphicFrame macro="">
      <xdr:nvGraphicFramePr>
        <xdr:cNvPr id="11" name="Chart 10">
          <a:extLst>
            <a:ext uri="{FF2B5EF4-FFF2-40B4-BE49-F238E27FC236}">
              <a16:creationId xmlns:a16="http://schemas.microsoft.com/office/drawing/2014/main" id="{192703C4-F14F-40F5-A274-428E549E0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0</xdr:rowOff>
    </xdr:from>
    <xdr:to>
      <xdr:col>0</xdr:col>
      <xdr:colOff>2152650</xdr:colOff>
      <xdr:row>30</xdr:row>
      <xdr:rowOff>66675</xdr:rowOff>
    </xdr:to>
    <mc:AlternateContent xmlns:mc="http://schemas.openxmlformats.org/markup-compatibility/2006" xmlns:a14="http://schemas.microsoft.com/office/drawing/2010/main">
      <mc:Choice Requires="a14">
        <xdr:graphicFrame macro="">
          <xdr:nvGraphicFramePr>
            <xdr:cNvPr id="14" name="Years (Invoice Date)">
              <a:extLst>
                <a:ext uri="{FF2B5EF4-FFF2-40B4-BE49-F238E27FC236}">
                  <a16:creationId xmlns:a16="http://schemas.microsoft.com/office/drawing/2014/main" id="{4A02711E-D4A4-4555-862D-1F33B07C39B2}"/>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0" y="3400425"/>
              <a:ext cx="215265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sec" refreshedDate="46156.476296412038" createdVersion="8" refreshedVersion="8" minRefreshableVersion="3" recordCount="9648" xr:uid="{F2290CBF-BF4E-469B-AEDA-C85C64E2B789}">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991099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94158C-B663-4DC5-B732-6AADA9C990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2"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71CEB-A912-49ED-BA7D-B9C1FBA9B7D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6:D32"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h="1" x="0"/>
        <item h="1" x="1"/>
        <item h="1" x="4"/>
        <item h="1"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dataField="1" compact="0" numFmtId="164"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6">
    <i>
      <x v="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Profi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A9DECA-07F7-4B16-9CED-A2A3A680D5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3"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6">
    <i>
      <x/>
    </i>
    <i>
      <x v="1"/>
    </i>
    <i>
      <x v="2"/>
    </i>
    <i>
      <x v="3"/>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3F246-9E80-480C-BBAD-340ED7D3E8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93EF81-77D7-403F-91D0-AD99A8FEF5D8}" sourceName="Region">
  <pivotTables>
    <pivotTable tabId="5" name="PivotTable1"/>
    <pivotTable tabId="5" name="PivotTable2"/>
    <pivotTable tabId="5" name="PivotTable3"/>
    <pivotTable tabId="5" name="PivotTable4"/>
  </pivotTables>
  <data>
    <tabular pivotCacheId="991099294">
      <items count="5">
        <i x="3" s="1"/>
        <i x="0"/>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FFDF502A-08A8-4FA1-9C8E-1F53561E909D}" sourceName="Years (Invoice Date)">
  <pivotTables>
    <pivotTable tabId="5" name="PivotTable1"/>
  </pivotTables>
  <data>
    <tabular pivotCacheId="991099294">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39ACE4-0D6F-4172-A874-611E9A71A1ED}" cache="Slicer_Region" caption="Region" rowHeight="257175"/>
  <slicer name="Years (Invoice Date)" xr10:uid="{1CC86A2E-D18E-4268-A90E-61131F915EDF}" cache="Slicer_Years__Invoice_Date" caption="Years (Invoice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C30" zoomScaleNormal="100" workbookViewId="0">
      <selection activeCell="D55" sqref="D55"/>
    </sheetView>
  </sheetViews>
  <sheetFormatPr defaultColWidth="11.19921875" defaultRowHeight="15.6" x14ac:dyDescent="0.3"/>
  <cols>
    <col min="1" max="1" width="8.69921875" bestFit="1" customWidth="1"/>
    <col min="3" max="3" width="11.19921875" customWidth="1"/>
    <col min="4" max="4" width="13" customWidth="1"/>
    <col min="8" max="8" width="15.69921875" customWidth="1"/>
    <col min="9" max="9" width="14.19921875" customWidth="1"/>
    <col min="11" max="11" width="11.69921875" customWidth="1"/>
    <col min="12" max="12" width="16.19921875" customWidth="1"/>
    <col min="13" max="13" width="17.19921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3:H34"/>
  <sheetViews>
    <sheetView workbookViewId="0">
      <selection activeCell="E7" sqref="E7"/>
    </sheetView>
  </sheetViews>
  <sheetFormatPr defaultColWidth="8.69921875" defaultRowHeight="15.6" x14ac:dyDescent="0.3"/>
  <cols>
    <col min="1" max="1" width="16.296875" bestFit="1" customWidth="1"/>
    <col min="2" max="2" width="22.59765625" bestFit="1" customWidth="1"/>
    <col min="3" max="3" width="16.296875" bestFit="1" customWidth="1"/>
    <col min="4" max="4" width="24.19921875" bestFit="1" customWidth="1"/>
    <col min="5" max="5" width="21.69921875" bestFit="1" customWidth="1"/>
    <col min="6" max="7" width="30.09765625" bestFit="1" customWidth="1"/>
    <col min="8" max="725" width="10.59765625" bestFit="1" customWidth="1"/>
    <col min="726" max="726" width="12" bestFit="1" customWidth="1"/>
  </cols>
  <sheetData>
    <row r="3" spans="1:4" x14ac:dyDescent="0.3">
      <c r="A3" t="s">
        <v>138</v>
      </c>
      <c r="B3" t="s">
        <v>139</v>
      </c>
      <c r="C3" t="s">
        <v>140</v>
      </c>
      <c r="D3" t="s">
        <v>141</v>
      </c>
    </row>
    <row r="4" spans="1:4" x14ac:dyDescent="0.3">
      <c r="A4" s="13">
        <v>1577051.6</v>
      </c>
      <c r="B4" s="14">
        <v>3704990</v>
      </c>
      <c r="C4" s="15">
        <v>0.4027835648148147</v>
      </c>
      <c r="D4" s="13">
        <v>651268.29699999979</v>
      </c>
    </row>
    <row r="6" spans="1:4" x14ac:dyDescent="0.3">
      <c r="A6" s="16" t="s">
        <v>138</v>
      </c>
      <c r="B6" s="16" t="s">
        <v>144</v>
      </c>
    </row>
    <row r="7" spans="1:4" x14ac:dyDescent="0.3">
      <c r="A7" s="16" t="s">
        <v>142</v>
      </c>
      <c r="B7" t="s">
        <v>145</v>
      </c>
      <c r="C7" t="s">
        <v>146</v>
      </c>
      <c r="D7" t="s">
        <v>143</v>
      </c>
    </row>
    <row r="8" spans="1:4" x14ac:dyDescent="0.3">
      <c r="A8" s="17" t="s">
        <v>14</v>
      </c>
      <c r="B8" s="13">
        <v>30454.600000000002</v>
      </c>
      <c r="C8" s="13">
        <v>440281.4</v>
      </c>
      <c r="D8" s="13">
        <v>470736</v>
      </c>
    </row>
    <row r="9" spans="1:4" x14ac:dyDescent="0.3">
      <c r="A9" s="17" t="s">
        <v>19</v>
      </c>
      <c r="B9" s="13">
        <v>18117.499999999993</v>
      </c>
      <c r="C9" s="13">
        <v>327183.29999999993</v>
      </c>
      <c r="D9" s="13">
        <v>345300.79999999993</v>
      </c>
    </row>
    <row r="10" spans="1:4" x14ac:dyDescent="0.3">
      <c r="A10" s="17" t="s">
        <v>15</v>
      </c>
      <c r="B10" s="13">
        <v>14351.200000000003</v>
      </c>
      <c r="C10" s="13">
        <v>247577.7</v>
      </c>
      <c r="D10" s="13">
        <v>261928.90000000002</v>
      </c>
    </row>
    <row r="11" spans="1:4" x14ac:dyDescent="0.3">
      <c r="A11" s="17" t="s">
        <v>17</v>
      </c>
      <c r="B11" s="13">
        <v>7460.4</v>
      </c>
      <c r="C11" s="13">
        <v>159893.90000000002</v>
      </c>
      <c r="D11" s="13">
        <v>167354.30000000002</v>
      </c>
    </row>
    <row r="12" spans="1:4" x14ac:dyDescent="0.3">
      <c r="A12" s="17" t="s">
        <v>18</v>
      </c>
      <c r="B12" s="13">
        <v>9122.9</v>
      </c>
      <c r="C12" s="13">
        <v>213255.7</v>
      </c>
      <c r="D12" s="13">
        <v>222378.6</v>
      </c>
    </row>
    <row r="13" spans="1:4" x14ac:dyDescent="0.3">
      <c r="A13" s="17" t="s">
        <v>16</v>
      </c>
      <c r="B13" s="13">
        <v>10885.199999999999</v>
      </c>
      <c r="C13" s="13">
        <v>188859.60000000003</v>
      </c>
      <c r="D13" s="13">
        <v>199744.80000000005</v>
      </c>
    </row>
    <row r="14" spans="1:4" x14ac:dyDescent="0.3">
      <c r="A14" s="17" t="s">
        <v>143</v>
      </c>
      <c r="B14" s="13">
        <v>90391.799999999988</v>
      </c>
      <c r="C14" s="13">
        <v>1577051.5999999999</v>
      </c>
      <c r="D14" s="13">
        <v>1667443.4000000001</v>
      </c>
    </row>
    <row r="16" spans="1:4" x14ac:dyDescent="0.3">
      <c r="A16" s="16" t="s">
        <v>138</v>
      </c>
      <c r="B16" s="16" t="s">
        <v>144</v>
      </c>
    </row>
    <row r="17" spans="1:8" x14ac:dyDescent="0.3">
      <c r="A17" s="16" t="s">
        <v>142</v>
      </c>
      <c r="B17" t="s">
        <v>145</v>
      </c>
      <c r="C17" t="s">
        <v>146</v>
      </c>
      <c r="D17" t="s">
        <v>143</v>
      </c>
    </row>
    <row r="18" spans="1:8" x14ac:dyDescent="0.3">
      <c r="A18" s="17" t="s">
        <v>130</v>
      </c>
      <c r="B18" s="13"/>
      <c r="C18" s="13">
        <v>206844.79999999999</v>
      </c>
      <c r="D18" s="13">
        <v>206844.79999999999</v>
      </c>
    </row>
    <row r="19" spans="1:8" x14ac:dyDescent="0.3">
      <c r="A19" s="17" t="s">
        <v>20</v>
      </c>
      <c r="B19" s="13">
        <v>81141.499999999985</v>
      </c>
      <c r="C19" s="13">
        <v>507735.40000000014</v>
      </c>
      <c r="D19" s="13">
        <v>588876.90000000014</v>
      </c>
    </row>
    <row r="20" spans="1:8" x14ac:dyDescent="0.3">
      <c r="A20" s="17" t="s">
        <v>127</v>
      </c>
      <c r="B20" s="13"/>
      <c r="C20" s="13">
        <v>321961.59999999998</v>
      </c>
      <c r="D20" s="13">
        <v>321961.59999999998</v>
      </c>
    </row>
    <row r="21" spans="1:8" x14ac:dyDescent="0.3">
      <c r="A21" s="17" t="s">
        <v>129</v>
      </c>
      <c r="B21" s="13">
        <v>9250.2999999999993</v>
      </c>
      <c r="C21" s="13">
        <v>263886.2</v>
      </c>
      <c r="D21" s="13">
        <v>273136.5</v>
      </c>
    </row>
    <row r="22" spans="1:8" x14ac:dyDescent="0.3">
      <c r="A22" s="17" t="s">
        <v>128</v>
      </c>
      <c r="B22" s="13"/>
      <c r="C22" s="13">
        <v>276623.59999999998</v>
      </c>
      <c r="D22" s="13">
        <v>276623.59999999998</v>
      </c>
    </row>
    <row r="23" spans="1:8" x14ac:dyDescent="0.3">
      <c r="A23" s="17" t="s">
        <v>143</v>
      </c>
      <c r="B23" s="13">
        <v>90391.799999999988</v>
      </c>
      <c r="C23" s="13">
        <v>1577051.6</v>
      </c>
      <c r="D23" s="13">
        <v>1667443.4000000004</v>
      </c>
    </row>
    <row r="26" spans="1:8" x14ac:dyDescent="0.3">
      <c r="A26" s="16" t="s">
        <v>152</v>
      </c>
      <c r="B26" s="16" t="s">
        <v>153</v>
      </c>
      <c r="C26" t="s">
        <v>138</v>
      </c>
      <c r="D26" t="s">
        <v>147</v>
      </c>
    </row>
    <row r="27" spans="1:8" x14ac:dyDescent="0.3">
      <c r="A27" t="s">
        <v>145</v>
      </c>
      <c r="B27" t="s">
        <v>151</v>
      </c>
      <c r="C27" s="13">
        <v>90391.799999999988</v>
      </c>
      <c r="D27" s="13">
        <v>241.15434722222233</v>
      </c>
      <c r="E27" t="str">
        <f>A27</f>
        <v>2022</v>
      </c>
      <c r="F27" t="str">
        <f t="shared" ref="F27:H27" si="0">B27</f>
        <v>Qtr4</v>
      </c>
      <c r="G27">
        <f t="shared" si="0"/>
        <v>90391.799999999988</v>
      </c>
      <c r="H27">
        <f t="shared" si="0"/>
        <v>241.15434722222233</v>
      </c>
    </row>
    <row r="28" spans="1:8" x14ac:dyDescent="0.3">
      <c r="A28" t="s">
        <v>146</v>
      </c>
      <c r="B28" t="s">
        <v>148</v>
      </c>
      <c r="C28" s="13">
        <v>383459.10000000003</v>
      </c>
      <c r="D28" s="13">
        <v>338.11582264957269</v>
      </c>
      <c r="F28" t="str">
        <f t="shared" ref="F28:F34" si="1">B28</f>
        <v>Qtr1</v>
      </c>
      <c r="G28">
        <f t="shared" ref="G28:G34" si="2">C28</f>
        <v>383459.10000000003</v>
      </c>
      <c r="H28">
        <f t="shared" ref="H28:H34" si="3">D28</f>
        <v>338.11582264957269</v>
      </c>
    </row>
    <row r="29" spans="1:8" x14ac:dyDescent="0.3">
      <c r="B29" t="s">
        <v>149</v>
      </c>
      <c r="C29" s="13">
        <v>355718.20000000007</v>
      </c>
      <c r="D29" s="13">
        <v>327.64214380530979</v>
      </c>
      <c r="F29" t="str">
        <f t="shared" si="1"/>
        <v>Qtr2</v>
      </c>
      <c r="G29">
        <f t="shared" si="2"/>
        <v>355718.20000000007</v>
      </c>
      <c r="H29">
        <f t="shared" si="3"/>
        <v>327.64214380530979</v>
      </c>
    </row>
    <row r="30" spans="1:8" x14ac:dyDescent="0.3">
      <c r="B30" t="s">
        <v>150</v>
      </c>
      <c r="C30" s="13">
        <v>483622</v>
      </c>
      <c r="D30" s="13">
        <v>413.25352272727275</v>
      </c>
      <c r="F30" t="str">
        <f t="shared" si="1"/>
        <v>Qtr3</v>
      </c>
      <c r="G30">
        <f t="shared" si="2"/>
        <v>483622</v>
      </c>
      <c r="H30">
        <f t="shared" si="3"/>
        <v>413.25352272727275</v>
      </c>
    </row>
    <row r="31" spans="1:8" x14ac:dyDescent="0.3">
      <c r="B31" t="s">
        <v>151</v>
      </c>
      <c r="C31" s="13">
        <v>354252.3</v>
      </c>
      <c r="D31" s="13">
        <v>447.28746296296299</v>
      </c>
      <c r="E31">
        <f t="shared" ref="E31" si="4">A31</f>
        <v>0</v>
      </c>
      <c r="F31" t="str">
        <f t="shared" si="1"/>
        <v>Qtr4</v>
      </c>
      <c r="G31">
        <f t="shared" si="2"/>
        <v>354252.3</v>
      </c>
      <c r="H31">
        <f t="shared" si="3"/>
        <v>447.28746296296299</v>
      </c>
    </row>
    <row r="32" spans="1:8" x14ac:dyDescent="0.3">
      <c r="A32" t="s">
        <v>143</v>
      </c>
      <c r="C32" s="13">
        <v>1667443.4</v>
      </c>
      <c r="D32" s="13">
        <v>366.45006570512811</v>
      </c>
      <c r="F32">
        <f t="shared" si="1"/>
        <v>0</v>
      </c>
      <c r="G32">
        <f t="shared" si="2"/>
        <v>1667443.4</v>
      </c>
      <c r="H32">
        <f t="shared" si="3"/>
        <v>366.45006570512811</v>
      </c>
    </row>
    <row r="33" spans="6:8" x14ac:dyDescent="0.3">
      <c r="F33">
        <f t="shared" si="1"/>
        <v>0</v>
      </c>
      <c r="G33">
        <f t="shared" si="2"/>
        <v>0</v>
      </c>
      <c r="H33">
        <f t="shared" si="3"/>
        <v>0</v>
      </c>
    </row>
    <row r="34" spans="6:8" x14ac:dyDescent="0.3">
      <c r="F34">
        <f t="shared" si="1"/>
        <v>0</v>
      </c>
      <c r="G34">
        <f t="shared" si="2"/>
        <v>0</v>
      </c>
      <c r="H34">
        <f t="shared" si="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1:K22"/>
  <sheetViews>
    <sheetView showGridLines="0" tabSelected="1" zoomScale="107" zoomScaleNormal="107" workbookViewId="0">
      <selection activeCell="H14" sqref="H14"/>
    </sheetView>
  </sheetViews>
  <sheetFormatPr defaultColWidth="11.19921875" defaultRowHeight="15.6" x14ac:dyDescent="0.3"/>
  <cols>
    <col min="1" max="1" width="28.69921875" style="10" customWidth="1"/>
    <col min="7" max="7" width="9.5" customWidth="1"/>
  </cols>
  <sheetData>
    <row r="11" spans="3:11" x14ac:dyDescent="0.3">
      <c r="C11" s="20" t="s">
        <v>131</v>
      </c>
      <c r="D11" s="20"/>
      <c r="E11" s="20"/>
      <c r="F11" s="20"/>
      <c r="G11" s="11"/>
      <c r="H11" s="20" t="s">
        <v>132</v>
      </c>
      <c r="I11" s="20"/>
      <c r="J11" s="20"/>
      <c r="K11" s="20"/>
    </row>
    <row r="12" spans="3:11" x14ac:dyDescent="0.3">
      <c r="C12" s="12" t="s">
        <v>133</v>
      </c>
      <c r="D12" s="12" t="s">
        <v>134</v>
      </c>
      <c r="E12" s="12" t="s">
        <v>135</v>
      </c>
      <c r="F12" s="12" t="s">
        <v>136</v>
      </c>
      <c r="H12" s="12" t="s">
        <v>133</v>
      </c>
      <c r="I12" s="12" t="s">
        <v>134</v>
      </c>
      <c r="J12" s="12" t="s">
        <v>135</v>
      </c>
      <c r="K12" s="12" t="s">
        <v>136</v>
      </c>
    </row>
    <row r="13" spans="3:11" x14ac:dyDescent="0.3">
      <c r="C13" t="str">
        <f>Analyze!A8</f>
        <v>Coca-Cola</v>
      </c>
      <c r="D13" s="14">
        <f>Analyze!B8</f>
        <v>30454.600000000002</v>
      </c>
      <c r="E13" s="14">
        <f>Analyze!C8</f>
        <v>440281.4</v>
      </c>
      <c r="F13" s="14">
        <f>E13-D13</f>
        <v>409826.80000000005</v>
      </c>
      <c r="H13" t="str">
        <f>Analyze!A18</f>
        <v>Amazon</v>
      </c>
      <c r="I13" s="14">
        <f>Analyze!B18</f>
        <v>0</v>
      </c>
      <c r="J13" s="14">
        <f>Analyze!C18</f>
        <v>206844.79999999999</v>
      </c>
      <c r="K13" s="14">
        <f t="shared" ref="K13:K18" si="0">J13-I13</f>
        <v>206844.79999999999</v>
      </c>
    </row>
    <row r="14" spans="3:11" x14ac:dyDescent="0.3">
      <c r="C14" t="str">
        <f>Analyze!A9</f>
        <v>Dasani Water</v>
      </c>
      <c r="D14" s="14">
        <f>Analyze!B9</f>
        <v>18117.499999999993</v>
      </c>
      <c r="E14" s="14">
        <f>Analyze!C9</f>
        <v>327183.29999999993</v>
      </c>
      <c r="F14" s="14">
        <f t="shared" ref="F14:F18" si="1">E14-D14</f>
        <v>309065.79999999993</v>
      </c>
      <c r="H14" t="str">
        <f>Analyze!A19</f>
        <v>BevCo</v>
      </c>
      <c r="I14" s="14">
        <f>Analyze!B19</f>
        <v>81141.499999999985</v>
      </c>
      <c r="J14" s="14">
        <f>Analyze!C19</f>
        <v>507735.40000000014</v>
      </c>
      <c r="K14" s="14">
        <f t="shared" si="0"/>
        <v>426593.90000000014</v>
      </c>
    </row>
    <row r="15" spans="3:11" x14ac:dyDescent="0.3">
      <c r="C15" t="str">
        <f>Analyze!A10</f>
        <v>Diet Coke</v>
      </c>
      <c r="D15" s="14">
        <f>Analyze!B10</f>
        <v>14351.200000000003</v>
      </c>
      <c r="E15" s="14">
        <f>Analyze!C10</f>
        <v>247577.7</v>
      </c>
      <c r="F15" s="14">
        <f t="shared" si="1"/>
        <v>233226.5</v>
      </c>
      <c r="H15" t="str">
        <f>Analyze!A20</f>
        <v>FizzyCo</v>
      </c>
      <c r="I15" s="14">
        <f>Analyze!B20</f>
        <v>0</v>
      </c>
      <c r="J15" s="14">
        <f>Analyze!C20</f>
        <v>321961.59999999998</v>
      </c>
      <c r="K15" s="14">
        <f t="shared" si="0"/>
        <v>321961.59999999998</v>
      </c>
    </row>
    <row r="16" spans="3:11" x14ac:dyDescent="0.3">
      <c r="C16" t="str">
        <f>Analyze!A11</f>
        <v>Fanta</v>
      </c>
      <c r="D16" s="14">
        <f>Analyze!B11</f>
        <v>7460.4</v>
      </c>
      <c r="E16" s="14">
        <f>Analyze!C11</f>
        <v>159893.90000000002</v>
      </c>
      <c r="F16" s="14">
        <f t="shared" si="1"/>
        <v>152433.50000000003</v>
      </c>
      <c r="H16" t="str">
        <f>Analyze!A21</f>
        <v>Target</v>
      </c>
      <c r="I16" s="14">
        <f>Analyze!B21</f>
        <v>9250.2999999999993</v>
      </c>
      <c r="J16" s="14">
        <f>Analyze!C21</f>
        <v>263886.2</v>
      </c>
      <c r="K16" s="14">
        <f t="shared" si="0"/>
        <v>254635.90000000002</v>
      </c>
    </row>
    <row r="17" spans="3:11" x14ac:dyDescent="0.3">
      <c r="C17" t="str">
        <f>Analyze!A12</f>
        <v>Powerade</v>
      </c>
      <c r="D17" s="14">
        <f>Analyze!B12</f>
        <v>9122.9</v>
      </c>
      <c r="E17" s="14">
        <f>Analyze!C12</f>
        <v>213255.7</v>
      </c>
      <c r="F17" s="14">
        <f t="shared" si="1"/>
        <v>204132.80000000002</v>
      </c>
      <c r="H17" t="str">
        <f>Analyze!A22</f>
        <v>West Soda</v>
      </c>
      <c r="I17" s="14">
        <f>Analyze!B22</f>
        <v>0</v>
      </c>
      <c r="J17" s="14">
        <f>Analyze!C22</f>
        <v>276623.59999999998</v>
      </c>
      <c r="K17" s="14">
        <f t="shared" si="0"/>
        <v>276623.59999999998</v>
      </c>
    </row>
    <row r="18" spans="3:11" x14ac:dyDescent="0.3">
      <c r="C18" t="str">
        <f>Analyze!A13</f>
        <v>Sprite</v>
      </c>
      <c r="D18" s="14">
        <f>Analyze!B13</f>
        <v>10885.199999999999</v>
      </c>
      <c r="E18" s="14">
        <f>Analyze!C13</f>
        <v>188859.60000000003</v>
      </c>
      <c r="F18" s="14">
        <f t="shared" si="1"/>
        <v>177974.40000000002</v>
      </c>
      <c r="H18" t="str">
        <f>Analyze!A23</f>
        <v>Grand Total</v>
      </c>
      <c r="I18" s="14">
        <f>Analyze!B23</f>
        <v>90391.799999999988</v>
      </c>
      <c r="J18" s="14">
        <f>Analyze!C23</f>
        <v>1577051.6</v>
      </c>
      <c r="K18" s="14">
        <f t="shared" si="0"/>
        <v>1486659.8</v>
      </c>
    </row>
    <row r="19" spans="3:11" x14ac:dyDescent="0.3">
      <c r="C19" s="18" t="s">
        <v>154</v>
      </c>
      <c r="D19" s="19">
        <f>SUM(D13:D18)</f>
        <v>90391.799999999988</v>
      </c>
      <c r="E19" s="19">
        <f t="shared" ref="E19:F19" si="2">SUM(E13:E18)</f>
        <v>1577051.5999999999</v>
      </c>
      <c r="F19" s="19">
        <f t="shared" si="2"/>
        <v>1486659.8000000003</v>
      </c>
      <c r="H19" s="18" t="s">
        <v>154</v>
      </c>
      <c r="I19" s="19">
        <f t="shared" ref="I19:K19" si="3">SUM(I13:I18)</f>
        <v>180783.59999999998</v>
      </c>
      <c r="J19" s="19">
        <f t="shared" si="3"/>
        <v>3154103.2</v>
      </c>
      <c r="K19" s="19">
        <f t="shared" si="3"/>
        <v>2973319.6000000006</v>
      </c>
    </row>
    <row r="22" spans="3:11" x14ac:dyDescent="0.3">
      <c r="C22" s="20" t="s">
        <v>137</v>
      </c>
      <c r="D22" s="20"/>
      <c r="E22" s="20"/>
      <c r="F22" s="20"/>
      <c r="G22" s="20"/>
      <c r="H22" s="20"/>
      <c r="I22" s="20"/>
      <c r="J22" s="20"/>
      <c r="K22" s="20"/>
    </row>
  </sheetData>
  <mergeCells count="3">
    <mergeCell ref="C22:K22"/>
    <mergeCell ref="C11:F11"/>
    <mergeCell ref="H11:K11"/>
  </mergeCells>
  <conditionalFormatting sqref="F13:F18">
    <cfRule type="dataBar" priority="2">
      <dataBar>
        <cfvo type="min"/>
        <cfvo type="max"/>
        <color rgb="FF63C384"/>
      </dataBar>
      <extLst>
        <ext xmlns:x14="http://schemas.microsoft.com/office/spreadsheetml/2009/9/main" uri="{B025F937-C7B1-47D3-B67F-A62EFF666E3E}">
          <x14:id>{643D794B-079D-428D-BF60-8D1AC335A5F2}</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{D8B63E26-1664-42E8-AB72-4BDDEBBCBB54}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43D794B-079D-428D-BF60-8D1AC335A5F2}">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D8B63E26-1664-42E8-AB72-4BDDEBBCBB54}">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SAHIL GAYAKWAD</cp:lastModifiedBy>
  <dcterms:created xsi:type="dcterms:W3CDTF">2023-12-18T11:08:00Z</dcterms:created>
  <dcterms:modified xsi:type="dcterms:W3CDTF">2026-05-18T13:47:59Z</dcterms:modified>
</cp:coreProperties>
</file>